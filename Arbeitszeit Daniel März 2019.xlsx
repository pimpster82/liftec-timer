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d.docs.live.net/0bdcb2a22c464285/Desktop/"/>
    </mc:Choice>
  </mc:AlternateContent>
  <xr:revisionPtr revIDLastSave="38" documentId="8_{0EAAFD94-FC33-5B47-BE39-C51CE28968C3}" xr6:coauthVersionLast="47" xr6:coauthVersionMax="47" xr10:uidLastSave="{9289CDFE-7F95-4454-B2B5-1369CA3D675B}"/>
  <bookViews>
    <workbookView xWindow="9180" yWindow="345" windowWidth="14400" windowHeight="15480" xr2:uid="{00000000-000D-0000-FFFF-FFFF00000000}"/>
  </bookViews>
  <sheets>
    <sheet name="Arbeitszeit {name MM_JJJJ}" sheetId="49" r:id="rId1"/>
  </sheets>
  <definedNames>
    <definedName name="akt_Jahr">#REF!</definedName>
    <definedName name="Arbeitszeit" localSheetId="0">'Arbeitszeit {name MM_JJJJ}'!$P$5:$Q$11</definedName>
    <definedName name="Arbeitszeit1">#REF!</definedName>
    <definedName name="_xlnm.Print_Area" localSheetId="0">'Arbeitszeit {name MM_JJJJ}'!$A$1:$L$35</definedName>
    <definedName name="Feiertage">#REF!</definedName>
    <definedName name="Freitag" localSheetId="0">'Arbeitszeit {name MM_JJJJ}'!$Q$9</definedName>
    <definedName name="Pause">#REF!</definedName>
    <definedName name="Pensum">#REF!</definedName>
    <definedName name="Tag">#REF!</definedName>
    <definedName name="TagesPensum" localSheetId="0">'Arbeitszeit {name MM_JJJJ}'!$Q$18</definedName>
    <definedName name="WochenPensum" localSheetId="0">'Arbeitszeit {name MM_JJJJ}'!$Q$17</definedName>
    <definedName name="WochenSoll" localSheetId="0">'Arbeitszeit {name MM_JJJJ}'!$Q$14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9" l="1"/>
  <c r="B5" i="49"/>
  <c r="A1" i="49"/>
  <c r="B6" i="49" l="1"/>
  <c r="A7" i="49"/>
  <c r="B7" i="49" l="1"/>
  <c r="A8" i="49"/>
  <c r="B8" i="49" l="1"/>
  <c r="A9" i="49"/>
  <c r="B9" i="49" l="1"/>
  <c r="A10" i="49"/>
  <c r="A11" i="49" l="1"/>
  <c r="B10" i="49"/>
  <c r="B11" i="49" l="1"/>
  <c r="A12" i="49"/>
  <c r="B12" i="49" l="1"/>
  <c r="A13" i="49"/>
  <c r="B13" i="49" l="1"/>
  <c r="A14" i="49"/>
  <c r="B14" i="49" l="1"/>
  <c r="A15" i="49"/>
  <c r="B15" i="49" l="1"/>
  <c r="A16" i="49"/>
  <c r="A17" i="49" l="1"/>
  <c r="B16" i="49"/>
  <c r="B17" i="49" l="1"/>
  <c r="A18" i="49"/>
  <c r="A19" i="49" l="1"/>
  <c r="B18" i="49"/>
  <c r="B19" i="49" l="1"/>
  <c r="A20" i="49"/>
  <c r="A21" i="49" l="1"/>
  <c r="B20" i="49"/>
  <c r="B21" i="49" l="1"/>
  <c r="A22" i="49"/>
  <c r="A23" i="49" l="1"/>
  <c r="B22" i="49"/>
  <c r="B23" i="49" l="1"/>
  <c r="A24" i="49"/>
  <c r="A25" i="49" l="1"/>
  <c r="B24" i="49"/>
  <c r="B25" i="49" l="1"/>
  <c r="A26" i="49"/>
  <c r="A27" i="49" l="1"/>
  <c r="B26" i="49"/>
  <c r="B27" i="49" l="1"/>
  <c r="A28" i="49"/>
  <c r="B28" i="49" l="1"/>
  <c r="A29" i="49"/>
  <c r="A30" i="49" l="1"/>
  <c r="B29" i="49"/>
  <c r="A31" i="49" l="1"/>
  <c r="B30" i="49"/>
  <c r="A32" i="49" l="1"/>
  <c r="B31" i="49"/>
  <c r="B32" i="49" l="1"/>
  <c r="A33" i="49"/>
  <c r="A34" i="49" l="1"/>
  <c r="B33" i="49"/>
  <c r="A35" i="49" l="1"/>
  <c r="B35" i="49" s="1"/>
  <c r="B34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Ramel</author>
  </authors>
  <commentList>
    <comment ref="I1" authorId="0" shapeId="0" xr:uid="{00000000-0006-0000-0300-000001000000}">
      <text>
        <r>
          <rPr>
            <sz val="12"/>
            <color indexed="81"/>
            <rFont val="Tahoma"/>
            <family val="2"/>
          </rPr>
          <t>Hier den Namen eintragen</t>
        </r>
      </text>
    </comment>
    <comment ref="A5" authorId="0" shapeId="0" xr:uid="{00000000-0006-0000-0300-000002000000}">
      <text>
        <r>
          <rPr>
            <sz val="12"/>
            <color indexed="81"/>
            <rFont val="Tahoma"/>
            <family val="2"/>
          </rPr>
          <t>Hier das Start-Datum eingeben, z.B. '1.1.03'</t>
        </r>
      </text>
    </comment>
  </commentList>
</comments>
</file>

<file path=xl/sharedStrings.xml><?xml version="1.0" encoding="utf-8"?>
<sst xmlns="http://schemas.openxmlformats.org/spreadsheetml/2006/main" count="61" uniqueCount="29">
  <si>
    <t>Datum</t>
  </si>
  <si>
    <t>Wochentag</t>
  </si>
  <si>
    <t>ein</t>
  </si>
  <si>
    <t>aus</t>
  </si>
  <si>
    <t>zeit</t>
  </si>
  <si>
    <t>Pause</t>
  </si>
  <si>
    <t>Dauer</t>
  </si>
  <si>
    <t>Arbeitszeit</t>
  </si>
  <si>
    <t>Fahrt</t>
  </si>
  <si>
    <t>Schmutz</t>
  </si>
  <si>
    <t>zulage</t>
  </si>
  <si>
    <t>Neuanlage</t>
  </si>
  <si>
    <t>Reparatur</t>
  </si>
  <si>
    <t>Wartung</t>
  </si>
  <si>
    <t>Einsatzort, Tätigkeit, Bemerkungen</t>
  </si>
  <si>
    <t>Demontage</t>
  </si>
  <si>
    <t>X</t>
  </si>
  <si>
    <t>IBK - Müllerstrasse 23</t>
  </si>
  <si>
    <t xml:space="preserve">IBK - Franz Fischerstr. Reparatur, Thauer Achleitner Neuanlage </t>
  </si>
  <si>
    <t>Thauer Achleitner Neuanlage, Wartung Hugo-Wolfstr. IBK</t>
  </si>
  <si>
    <t xml:space="preserve">Thauer Achleitner </t>
  </si>
  <si>
    <t xml:space="preserve">IBK Baumann </t>
  </si>
  <si>
    <t>Ellmau Kaiserblick - Aufzugsdemontage</t>
  </si>
  <si>
    <t>IBK Müllerstr. 23</t>
  </si>
  <si>
    <t>Ellmau Kaiserblick Aufzugsdemontage</t>
  </si>
  <si>
    <t>NAME: {name}</t>
  </si>
  <si>
    <t>Baumann</t>
  </si>
  <si>
    <t>Kufstein</t>
  </si>
  <si>
    <t>Zuhause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</si>
</sst>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h]:mm"/>
    <numFmt numFmtId="165" formatCode="&quot;Sollzeit&quot;\ hh:mm"/>
    <numFmt numFmtId="166" formatCode="dddd"/>
    <numFmt numFmtId="167" formatCode="[h]:mm;;"/>
    <numFmt numFmtId="168" formatCode="[hh]:mm"/>
    <numFmt numFmtId="169" formatCode="0.0"/>
    <numFmt numFmtId="171" formatCode="mmmm\ yyyy"/>
    <numFmt numFmtId="173" formatCode="_ [$€]\ * #,##0.00_ ;_ [$€]\ * \-#,##0.00_ ;_ [$€]\ * &quot;-&quot;??_ ;_ @_ "/>
  </numFmts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2"/>
      <color indexed="81"/>
      <name val="Tahoma"/>
      <family val="2"/>
    </font>
    <font>
      <b/>
      <sz val="12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5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73" fontId="10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8">
    <xf numFmtId="0" fontId="0" fillId="0" borderId="0" xfId="0"/>
    <xf numFmtId="20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169" fontId="0" fillId="0" borderId="0" xfId="0" applyNumberFormat="1"/>
    <xf numFmtId="168" fontId="0" fillId="0" borderId="0" xfId="0" applyNumberForma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20" fontId="1" fillId="0" borderId="1" xfId="0" applyNumberFormat="1" applyFont="1" applyBorder="1" applyAlignment="1">
      <alignment horizontal="centerContinuous"/>
    </xf>
    <xf numFmtId="167" fontId="0" fillId="0" borderId="0" xfId="0" applyNumberFormat="1" applyAlignment="1">
      <alignment horizontal="center" vertical="center"/>
    </xf>
    <xf numFmtId="167" fontId="9" fillId="0" borderId="2" xfId="0" applyNumberFormat="1" applyFont="1" applyBorder="1" applyAlignment="1" applyProtection="1">
      <alignment horizontal="center" vertical="center"/>
      <protection locked="0"/>
    </xf>
    <xf numFmtId="167" fontId="9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Continuous"/>
    </xf>
    <xf numFmtId="20" fontId="1" fillId="0" borderId="5" xfId="0" applyNumberFormat="1" applyFont="1" applyBorder="1" applyAlignment="1">
      <alignment horizontal="center"/>
    </xf>
    <xf numFmtId="20" fontId="1" fillId="0" borderId="6" xfId="0" applyNumberFormat="1" applyFont="1" applyBorder="1" applyAlignment="1">
      <alignment horizontal="center"/>
    </xf>
    <xf numFmtId="20" fontId="1" fillId="0" borderId="7" xfId="0" applyNumberFormat="1" applyFont="1" applyBorder="1" applyAlignment="1">
      <alignment horizontal="center"/>
    </xf>
    <xf numFmtId="20" fontId="1" fillId="0" borderId="8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20" fontId="1" fillId="0" borderId="10" xfId="0" applyNumberFormat="1" applyFont="1" applyBorder="1" applyAlignment="1">
      <alignment horizontal="center"/>
    </xf>
    <xf numFmtId="0" fontId="0" fillId="0" borderId="6" xfId="0" applyBorder="1"/>
    <xf numFmtId="0" fontId="6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20" fontId="2" fillId="0" borderId="0" xfId="0" applyNumberFormat="1" applyFont="1"/>
    <xf numFmtId="164" fontId="0" fillId="0" borderId="0" xfId="0" applyNumberFormat="1" applyAlignment="1">
      <alignment vertical="center"/>
    </xf>
    <xf numFmtId="0" fontId="1" fillId="0" borderId="0" xfId="0" applyFont="1"/>
    <xf numFmtId="0" fontId="0" fillId="3" borderId="0" xfId="0" applyFill="1"/>
    <xf numFmtId="0" fontId="1" fillId="3" borderId="0" xfId="0" applyFont="1" applyFill="1"/>
    <xf numFmtId="20" fontId="1" fillId="0" borderId="11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5" fontId="1" fillId="3" borderId="0" xfId="0" applyNumberFormat="1" applyFont="1" applyFill="1"/>
    <xf numFmtId="0" fontId="0" fillId="2" borderId="2" xfId="0" applyFill="1" applyBorder="1"/>
    <xf numFmtId="0" fontId="0" fillId="0" borderId="2" xfId="0" applyBorder="1"/>
    <xf numFmtId="0" fontId="9" fillId="3" borderId="0" xfId="0" applyFont="1" applyFill="1"/>
    <xf numFmtId="20" fontId="9" fillId="3" borderId="0" xfId="0" applyNumberFormat="1" applyFont="1" applyFill="1"/>
    <xf numFmtId="167" fontId="9" fillId="3" borderId="0" xfId="0" applyNumberFormat="1" applyFont="1" applyFill="1" applyAlignment="1">
      <alignment horizontal="center" vertical="center"/>
    </xf>
    <xf numFmtId="168" fontId="0" fillId="0" borderId="0" xfId="0" applyNumberFormat="1" applyProtection="1">
      <protection locked="0"/>
    </xf>
    <xf numFmtId="9" fontId="2" fillId="0" borderId="0" xfId="2" applyProtection="1">
      <protection locked="0"/>
    </xf>
    <xf numFmtId="0" fontId="0" fillId="0" borderId="0" xfId="0" applyProtection="1">
      <protection locked="0"/>
    </xf>
    <xf numFmtId="14" fontId="9" fillId="0" borderId="18" xfId="0" applyNumberFormat="1" applyFont="1" applyBorder="1" applyAlignment="1" applyProtection="1">
      <alignment horizontal="center" vertical="center"/>
      <protection locked="0"/>
    </xf>
    <xf numFmtId="166" fontId="9" fillId="0" borderId="19" xfId="0" applyNumberFormat="1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center" vertical="center"/>
    </xf>
    <xf numFmtId="20" fontId="0" fillId="2" borderId="12" xfId="0" applyNumberFormat="1" applyFill="1" applyBorder="1"/>
    <xf numFmtId="167" fontId="0" fillId="2" borderId="12" xfId="0" applyNumberFormat="1" applyFill="1" applyBorder="1" applyAlignment="1">
      <alignment vertical="center"/>
    </xf>
    <xf numFmtId="0" fontId="0" fillId="2" borderId="12" xfId="0" applyFill="1" applyBorder="1"/>
    <xf numFmtId="167" fontId="0" fillId="2" borderId="12" xfId="0" applyNumberFormat="1" applyFill="1" applyBorder="1"/>
    <xf numFmtId="0" fontId="0" fillId="0" borderId="12" xfId="0" applyBorder="1"/>
    <xf numFmtId="14" fontId="9" fillId="0" borderId="5" xfId="0" applyNumberFormat="1" applyFont="1" applyBorder="1" applyAlignment="1">
      <alignment horizontal="center" vertical="center"/>
    </xf>
    <xf numFmtId="166" fontId="9" fillId="0" borderId="13" xfId="0" applyNumberFormat="1" applyFont="1" applyBorder="1" applyAlignment="1">
      <alignment horizontal="left" vertical="center"/>
    </xf>
    <xf numFmtId="167" fontId="9" fillId="0" borderId="13" xfId="0" applyNumberFormat="1" applyFont="1" applyBorder="1" applyAlignment="1" applyProtection="1">
      <alignment horizontal="center" vertical="center"/>
      <protection locked="0"/>
    </xf>
    <xf numFmtId="167" fontId="9" fillId="0" borderId="13" xfId="0" applyNumberFormat="1" applyFont="1" applyBorder="1" applyAlignment="1">
      <alignment horizontal="center" vertical="center"/>
    </xf>
    <xf numFmtId="0" fontId="0" fillId="0" borderId="13" xfId="0" applyBorder="1"/>
    <xf numFmtId="167" fontId="1" fillId="2" borderId="14" xfId="0" applyNumberFormat="1" applyFont="1" applyFill="1" applyBorder="1" applyAlignment="1">
      <alignment horizontal="center" vertical="center"/>
    </xf>
    <xf numFmtId="167" fontId="1" fillId="2" borderId="9" xfId="0" applyNumberFormat="1" applyFont="1" applyFill="1" applyBorder="1" applyAlignment="1">
      <alignment horizontal="center" vertical="center"/>
    </xf>
    <xf numFmtId="171" fontId="4" fillId="4" borderId="15" xfId="0" applyNumberFormat="1" applyFont="1" applyFill="1" applyBorder="1" applyAlignment="1">
      <alignment horizontal="left" vertical="center"/>
    </xf>
    <xf numFmtId="171" fontId="4" fillId="4" borderId="16" xfId="0" applyNumberFormat="1" applyFont="1" applyFill="1" applyBorder="1" applyAlignment="1">
      <alignment horizontal="left" vertical="center"/>
    </xf>
    <xf numFmtId="171" fontId="4" fillId="4" borderId="17" xfId="0" applyNumberFormat="1" applyFont="1" applyFill="1" applyBorder="1" applyAlignment="1">
      <alignment horizontal="left" vertical="center"/>
    </xf>
    <xf numFmtId="20" fontId="4" fillId="3" borderId="15" xfId="0" applyNumberFormat="1" applyFont="1" applyFill="1" applyBorder="1" applyAlignment="1" applyProtection="1">
      <alignment horizontal="left" vertical="center"/>
      <protection locked="0"/>
    </xf>
    <xf numFmtId="20" fontId="4" fillId="3" borderId="16" xfId="0" applyNumberFormat="1" applyFont="1" applyFill="1" applyBorder="1" applyAlignment="1" applyProtection="1">
      <alignment horizontal="left" vertical="center"/>
      <protection locked="0"/>
    </xf>
    <xf numFmtId="20" fontId="4" fillId="3" borderId="17" xfId="0" applyNumberFormat="1" applyFont="1" applyFill="1" applyBorder="1" applyAlignment="1" applyProtection="1">
      <alignment horizontal="left" vertical="center"/>
      <protection locked="0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textRotation="90"/>
    </xf>
    <xf numFmtId="0" fontId="11" fillId="2" borderId="9" xfId="0" applyFont="1" applyFill="1" applyBorder="1" applyAlignment="1">
      <alignment horizontal="center" textRotation="90"/>
    </xf>
  </cellXfs>
  <cellStyles count="3">
    <cellStyle name="Euro" xfId="1" xr:uid="{00000000-0005-0000-0000-000000000000}"/>
    <cellStyle name="Prozent" xfId="2" builtinId="5"/>
    <cellStyle name="Standard" xfId="0" builtinId="0"/>
  </cellStyles>
  <dxfs count="6">
    <dxf>
      <fill>
        <patternFill>
          <bgColor indexed="22"/>
        </patternFill>
      </fill>
      <border>
        <left/>
        <right/>
        <top/>
        <bottom/>
      </border>
    </dxf>
    <dxf>
      <fill>
        <patternFill>
          <bgColor indexed="26"/>
        </patternFill>
      </fill>
      <border>
        <left/>
        <right/>
        <top/>
        <bottom/>
      </border>
    </dxf>
    <dxf>
      <fill>
        <patternFill>
          <bgColor indexed="24"/>
        </patternFill>
      </fill>
      <border>
        <left/>
        <right/>
        <top/>
        <bottom/>
      </border>
    </dxf>
    <dxf>
      <fill>
        <patternFill>
          <bgColor indexed="22"/>
        </patternFill>
      </fill>
      <border>
        <left/>
        <right/>
        <top/>
        <bottom/>
      </border>
    </dxf>
    <dxf>
      <fill>
        <patternFill>
          <bgColor indexed="26"/>
        </patternFill>
      </fill>
      <border>
        <left/>
        <right/>
        <top/>
        <bottom/>
      </border>
    </dxf>
    <dxf>
      <fill>
        <patternFill>
          <bgColor indexed="24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AEAEA"/>
      <rgbColor rgb="00993366"/>
      <rgbColor rgb="00FFFFCC"/>
      <rgbColor rgb="00EB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1"/>
  <sheetViews>
    <sheetView tabSelected="1" workbookViewId="0">
      <selection activeCell="N9" sqref="N9"/>
    </sheetView>
  </sheetViews>
  <sheetFormatPr baseColWidth="10" defaultColWidth="11.5703125" defaultRowHeight="12.75" x14ac:dyDescent="0.2"/>
  <cols>
    <col min="1" max="1" width="11.85546875" customWidth="1"/>
    <col min="2" max="2" width="11.5703125" customWidth="1"/>
    <col min="3" max="5" width="7.7109375" customWidth="1"/>
    <col min="6" max="6" width="6.42578125" customWidth="1"/>
    <col min="7" max="7" width="8.5703125" customWidth="1"/>
    <col min="8" max="11" width="3.28515625" customWidth="1"/>
    <col min="12" max="12" width="72.28515625" customWidth="1"/>
    <col min="13" max="13" width="11.42578125" customWidth="1"/>
    <col min="14" max="14" width="11.5703125" customWidth="1"/>
    <col min="15" max="15" width="15.42578125" customWidth="1"/>
    <col min="16" max="16" width="2.7109375" customWidth="1"/>
    <col min="17" max="18" width="10.28515625" customWidth="1"/>
  </cols>
  <sheetData>
    <row r="1" spans="1:20" ht="27.75" customHeight="1" thickBot="1" x14ac:dyDescent="0.4">
      <c r="A1" s="58">
        <f>A5</f>
        <v>43525</v>
      </c>
      <c r="B1" s="59"/>
      <c r="C1" s="60"/>
      <c r="D1" s="31"/>
      <c r="E1" s="34"/>
      <c r="F1" s="34"/>
      <c r="G1" s="30"/>
      <c r="H1" s="30"/>
      <c r="I1" s="61" t="s">
        <v>25</v>
      </c>
      <c r="J1" s="62"/>
      <c r="K1" s="62"/>
      <c r="L1" s="63"/>
      <c r="M1" s="7"/>
    </row>
    <row r="2" spans="1:20" ht="17.45" customHeight="1" thickBo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8"/>
      <c r="O2" s="22"/>
    </row>
    <row r="3" spans="1:20" ht="17.45" customHeight="1" x14ac:dyDescent="0.25">
      <c r="A3" s="64" t="s">
        <v>0</v>
      </c>
      <c r="B3" s="64" t="s">
        <v>1</v>
      </c>
      <c r="C3" s="9" t="s">
        <v>7</v>
      </c>
      <c r="D3" s="13"/>
      <c r="E3" s="16" t="s">
        <v>5</v>
      </c>
      <c r="F3" s="20" t="s">
        <v>8</v>
      </c>
      <c r="G3" s="33" t="s">
        <v>9</v>
      </c>
      <c r="H3" s="66" t="s">
        <v>11</v>
      </c>
      <c r="I3" s="66" t="s">
        <v>15</v>
      </c>
      <c r="J3" s="66" t="s">
        <v>12</v>
      </c>
      <c r="K3" s="66" t="s">
        <v>13</v>
      </c>
      <c r="L3" s="56" t="s">
        <v>14</v>
      </c>
      <c r="M3" s="8"/>
      <c r="O3" s="22"/>
    </row>
    <row r="4" spans="1:20" ht="17.45" customHeight="1" thickBot="1" x14ac:dyDescent="0.25">
      <c r="A4" s="65"/>
      <c r="B4" s="65"/>
      <c r="C4" s="14" t="s">
        <v>2</v>
      </c>
      <c r="D4" s="15" t="s">
        <v>3</v>
      </c>
      <c r="E4" s="17" t="s">
        <v>6</v>
      </c>
      <c r="F4" s="32" t="s">
        <v>4</v>
      </c>
      <c r="G4" s="19" t="s">
        <v>10</v>
      </c>
      <c r="H4" s="67"/>
      <c r="I4" s="67"/>
      <c r="J4" s="67"/>
      <c r="K4" s="67"/>
      <c r="L4" s="57"/>
      <c r="M4" s="8"/>
      <c r="Q4" s="3"/>
      <c r="R4" s="3"/>
    </row>
    <row r="5" spans="1:20" ht="15.75" customHeight="1" x14ac:dyDescent="0.2">
      <c r="A5" s="43">
        <v>43525</v>
      </c>
      <c r="B5" s="44">
        <f t="shared" ref="B5:B35" si="0">A5</f>
        <v>43525</v>
      </c>
      <c r="C5" s="11">
        <v>0.3125</v>
      </c>
      <c r="D5" s="11">
        <v>0.5</v>
      </c>
      <c r="E5" s="11">
        <v>0</v>
      </c>
      <c r="F5" s="11">
        <v>2.0833333333333332E-2</v>
      </c>
      <c r="G5" s="12">
        <v>0.125</v>
      </c>
      <c r="H5" s="35"/>
      <c r="I5" s="35"/>
      <c r="J5" s="35" t="s">
        <v>16</v>
      </c>
      <c r="K5" s="35"/>
      <c r="L5" s="48" t="s">
        <v>26</v>
      </c>
      <c r="M5" s="6"/>
      <c r="N5" s="10"/>
      <c r="O5" s="23"/>
      <c r="Q5" s="5"/>
    </row>
    <row r="6" spans="1:20" ht="15.75" customHeight="1" x14ac:dyDescent="0.2">
      <c r="A6" s="45">
        <f t="shared" ref="A6:A35" si="1">IF(A5="","",IF(MONTH(A5+1)=MONTH($A$5),A5+1,""))</f>
        <v>43526</v>
      </c>
      <c r="B6" s="18">
        <f t="shared" si="0"/>
        <v>43526</v>
      </c>
      <c r="C6" s="11"/>
      <c r="D6" s="11"/>
      <c r="E6" s="11"/>
      <c r="F6" s="11"/>
      <c r="G6" s="12"/>
      <c r="H6" s="35"/>
      <c r="I6" s="35"/>
      <c r="J6" s="35"/>
      <c r="K6" s="35"/>
      <c r="L6" s="46"/>
      <c r="M6" s="6"/>
      <c r="N6" s="10"/>
      <c r="O6" s="24"/>
      <c r="Q6" s="5"/>
    </row>
    <row r="7" spans="1:20" ht="15.75" customHeight="1" x14ac:dyDescent="0.2">
      <c r="A7" s="45">
        <f t="shared" si="1"/>
        <v>43527</v>
      </c>
      <c r="B7" s="18">
        <f t="shared" si="0"/>
        <v>43527</v>
      </c>
      <c r="C7" s="11"/>
      <c r="D7" s="11"/>
      <c r="E7" s="11"/>
      <c r="F7" s="11"/>
      <c r="G7" s="12"/>
      <c r="H7" s="35"/>
      <c r="I7" s="35"/>
      <c r="J7" s="35"/>
      <c r="K7" s="35"/>
      <c r="L7" s="47"/>
      <c r="M7" s="6"/>
      <c r="N7" s="10"/>
      <c r="O7" s="24"/>
      <c r="Q7" s="5"/>
    </row>
    <row r="8" spans="1:20" ht="15.75" customHeight="1" x14ac:dyDescent="0.2">
      <c r="A8" s="45">
        <f t="shared" si="1"/>
        <v>43528</v>
      </c>
      <c r="B8" s="18">
        <f t="shared" si="0"/>
        <v>43528</v>
      </c>
      <c r="C8" s="11">
        <v>0.3125</v>
      </c>
      <c r="D8" s="11">
        <v>0.70833333333333337</v>
      </c>
      <c r="E8" s="11">
        <v>2.0833333333333332E-2</v>
      </c>
      <c r="F8" s="11">
        <v>2.0833333333333332E-2</v>
      </c>
      <c r="G8" s="12">
        <v>0.25</v>
      </c>
      <c r="H8" s="35" t="s">
        <v>16</v>
      </c>
      <c r="I8" s="35"/>
      <c r="J8" s="35" t="s">
        <v>16</v>
      </c>
      <c r="K8" s="35"/>
      <c r="L8" s="48" t="s">
        <v>18</v>
      </c>
      <c r="M8" s="6"/>
      <c r="N8" s="10"/>
      <c r="O8" s="24"/>
      <c r="Q8" s="5"/>
    </row>
    <row r="9" spans="1:20" ht="15.75" customHeight="1" x14ac:dyDescent="0.2">
      <c r="A9" s="45">
        <f t="shared" si="1"/>
        <v>43529</v>
      </c>
      <c r="B9" s="18">
        <f t="shared" si="0"/>
        <v>43529</v>
      </c>
      <c r="C9" s="11">
        <v>0.3125</v>
      </c>
      <c r="D9" s="11">
        <v>0.70833333333333337</v>
      </c>
      <c r="E9" s="11">
        <v>2.0833333333333332E-2</v>
      </c>
      <c r="F9" s="11">
        <v>4.1666666666666664E-2</v>
      </c>
      <c r="G9" s="12">
        <v>0.29166666666666669</v>
      </c>
      <c r="H9" s="35" t="s">
        <v>16</v>
      </c>
      <c r="I9" s="35"/>
      <c r="J9" s="35"/>
      <c r="K9" s="35" t="s">
        <v>16</v>
      </c>
      <c r="L9" s="48" t="s">
        <v>19</v>
      </c>
      <c r="M9" s="6"/>
      <c r="N9" s="10"/>
      <c r="O9" s="23"/>
      <c r="Q9" s="5"/>
      <c r="S9" s="1"/>
    </row>
    <row r="10" spans="1:20" ht="15.75" customHeight="1" x14ac:dyDescent="0.2">
      <c r="A10" s="45">
        <f t="shared" si="1"/>
        <v>43530</v>
      </c>
      <c r="B10" s="18">
        <f t="shared" si="0"/>
        <v>43530</v>
      </c>
      <c r="C10" s="11">
        <v>0.3125</v>
      </c>
      <c r="D10" s="11">
        <v>0.70833333333333337</v>
      </c>
      <c r="E10" s="11">
        <v>2.0833333333333332E-2</v>
      </c>
      <c r="F10" s="11">
        <v>2.0833333333333332E-2</v>
      </c>
      <c r="G10" s="12">
        <v>0.25</v>
      </c>
      <c r="H10" s="35" t="s">
        <v>16</v>
      </c>
      <c r="I10" s="35"/>
      <c r="J10" s="35"/>
      <c r="K10" s="35"/>
      <c r="L10" s="49" t="s">
        <v>20</v>
      </c>
      <c r="M10" s="6"/>
      <c r="N10" s="10"/>
      <c r="O10" s="25"/>
      <c r="Q10" s="40"/>
      <c r="S10" s="1"/>
    </row>
    <row r="11" spans="1:20" ht="15.75" customHeight="1" x14ac:dyDescent="0.2">
      <c r="A11" s="45">
        <f t="shared" si="1"/>
        <v>43531</v>
      </c>
      <c r="B11" s="18">
        <f t="shared" si="0"/>
        <v>43531</v>
      </c>
      <c r="C11" s="11">
        <v>0.3125</v>
      </c>
      <c r="D11" s="11">
        <v>0.70833333333333337</v>
      </c>
      <c r="E11" s="11">
        <v>2.0833333333333332E-2</v>
      </c>
      <c r="F11" s="11">
        <v>4.1666666666666664E-2</v>
      </c>
      <c r="G11" s="12">
        <v>0.29166666666666669</v>
      </c>
      <c r="H11" s="35" t="s">
        <v>16</v>
      </c>
      <c r="I11" s="35"/>
      <c r="J11" s="35"/>
      <c r="K11" s="35"/>
      <c r="L11" s="48" t="s">
        <v>21</v>
      </c>
      <c r="M11" s="6"/>
      <c r="N11" s="10"/>
      <c r="O11" s="26"/>
      <c r="Q11" s="40"/>
      <c r="S11" s="1"/>
      <c r="T11" s="5"/>
    </row>
    <row r="12" spans="1:20" ht="15.75" customHeight="1" x14ac:dyDescent="0.2">
      <c r="A12" s="45">
        <f t="shared" si="1"/>
        <v>43532</v>
      </c>
      <c r="B12" s="18">
        <f t="shared" si="0"/>
        <v>43532</v>
      </c>
      <c r="C12" s="11">
        <v>0.3125</v>
      </c>
      <c r="D12" s="11">
        <v>0.5</v>
      </c>
      <c r="E12" s="11">
        <v>0</v>
      </c>
      <c r="F12" s="11">
        <v>2.0833333333333332E-2</v>
      </c>
      <c r="G12" s="12">
        <v>0.125</v>
      </c>
      <c r="H12" s="35"/>
      <c r="I12" s="35"/>
      <c r="J12" s="35" t="s">
        <v>16</v>
      </c>
      <c r="K12" s="35"/>
      <c r="L12" s="48" t="s">
        <v>26</v>
      </c>
      <c r="M12" s="6"/>
      <c r="N12" s="10"/>
      <c r="O12" s="2"/>
      <c r="P12" s="2"/>
      <c r="Q12" s="5"/>
    </row>
    <row r="13" spans="1:20" ht="15.75" customHeight="1" x14ac:dyDescent="0.2">
      <c r="A13" s="45">
        <f t="shared" si="1"/>
        <v>43533</v>
      </c>
      <c r="B13" s="18">
        <f t="shared" si="0"/>
        <v>43533</v>
      </c>
      <c r="C13" s="11"/>
      <c r="D13" s="11"/>
      <c r="E13" s="11"/>
      <c r="F13" s="11"/>
      <c r="G13" s="12"/>
      <c r="H13" s="35"/>
      <c r="I13" s="35"/>
      <c r="J13" s="35"/>
      <c r="K13" s="35"/>
      <c r="L13" s="48"/>
      <c r="M13" s="6"/>
      <c r="N13" s="10"/>
    </row>
    <row r="14" spans="1:20" ht="15.75" customHeight="1" x14ac:dyDescent="0.2">
      <c r="A14" s="45">
        <f t="shared" si="1"/>
        <v>43534</v>
      </c>
      <c r="B14" s="18">
        <f t="shared" si="0"/>
        <v>43534</v>
      </c>
      <c r="C14" s="11"/>
      <c r="D14" s="11"/>
      <c r="E14" s="11"/>
      <c r="F14" s="11"/>
      <c r="G14" s="12"/>
      <c r="H14" s="35"/>
      <c r="I14" s="35"/>
      <c r="J14" s="35"/>
      <c r="K14" s="35"/>
      <c r="L14" s="48"/>
      <c r="M14" s="6"/>
      <c r="N14" s="10"/>
      <c r="O14" s="2"/>
      <c r="P14" s="2"/>
      <c r="Q14" s="40"/>
      <c r="S14" s="4"/>
    </row>
    <row r="15" spans="1:20" ht="15.75" customHeight="1" x14ac:dyDescent="0.2">
      <c r="A15" s="45">
        <f t="shared" si="1"/>
        <v>43535</v>
      </c>
      <c r="B15" s="18">
        <f t="shared" si="0"/>
        <v>43535</v>
      </c>
      <c r="C15" s="11">
        <v>0.3125</v>
      </c>
      <c r="D15" s="11">
        <v>0.70833333333333337</v>
      </c>
      <c r="E15" s="11">
        <v>2.0833333333333332E-2</v>
      </c>
      <c r="F15" s="11">
        <v>2.0833333333333332E-2</v>
      </c>
      <c r="G15" s="12">
        <v>0.25</v>
      </c>
      <c r="H15" s="35"/>
      <c r="I15" s="35" t="s">
        <v>16</v>
      </c>
      <c r="J15" s="35"/>
      <c r="K15" s="35"/>
      <c r="L15" s="48" t="s">
        <v>22</v>
      </c>
      <c r="M15" s="6"/>
      <c r="N15" s="10"/>
      <c r="O15" s="2"/>
      <c r="P15" s="2"/>
      <c r="Q15" s="41"/>
    </row>
    <row r="16" spans="1:20" ht="15.75" customHeight="1" x14ac:dyDescent="0.2">
      <c r="A16" s="45">
        <f t="shared" si="1"/>
        <v>43536</v>
      </c>
      <c r="B16" s="18">
        <f t="shared" si="0"/>
        <v>43536</v>
      </c>
      <c r="C16" s="11">
        <v>0.3125</v>
      </c>
      <c r="D16" s="11">
        <v>0.70833333333333337</v>
      </c>
      <c r="E16" s="11">
        <v>2.0833333333333332E-2</v>
      </c>
      <c r="F16" s="11">
        <v>4.1666666666666664E-2</v>
      </c>
      <c r="G16" s="12">
        <v>0.29166666666666669</v>
      </c>
      <c r="H16" s="36" t="s">
        <v>16</v>
      </c>
      <c r="I16" s="36"/>
      <c r="J16" s="36"/>
      <c r="K16" s="36"/>
      <c r="L16" s="50" t="s">
        <v>23</v>
      </c>
      <c r="M16" s="6"/>
      <c r="N16" s="10"/>
      <c r="O16" s="2"/>
      <c r="Q16" s="42"/>
    </row>
    <row r="17" spans="1:20" ht="15.75" customHeight="1" x14ac:dyDescent="0.2">
      <c r="A17" s="45">
        <f t="shared" si="1"/>
        <v>43537</v>
      </c>
      <c r="B17" s="18">
        <f t="shared" si="0"/>
        <v>43537</v>
      </c>
      <c r="C17" s="11">
        <v>0.3125</v>
      </c>
      <c r="D17" s="11">
        <v>0.70833333333333337</v>
      </c>
      <c r="E17" s="11">
        <v>2.0833333333333332E-2</v>
      </c>
      <c r="F17" s="11">
        <v>2.0833333333333332E-2</v>
      </c>
      <c r="G17" s="12">
        <v>0.25</v>
      </c>
      <c r="H17" s="36" t="s">
        <v>16</v>
      </c>
      <c r="I17" s="36"/>
      <c r="J17" s="36"/>
      <c r="K17" s="36"/>
      <c r="L17" s="50" t="s">
        <v>23</v>
      </c>
      <c r="M17" s="6"/>
      <c r="N17" s="10"/>
      <c r="O17" s="2"/>
      <c r="P17" s="2"/>
      <c r="Q17" s="5"/>
    </row>
    <row r="18" spans="1:20" ht="15.75" customHeight="1" x14ac:dyDescent="0.2">
      <c r="A18" s="45">
        <f t="shared" si="1"/>
        <v>43538</v>
      </c>
      <c r="B18" s="18">
        <f t="shared" si="0"/>
        <v>43538</v>
      </c>
      <c r="C18" s="11">
        <v>0.3125</v>
      </c>
      <c r="D18" s="11">
        <v>0.70833333333333337</v>
      </c>
      <c r="E18" s="11">
        <v>2.0833333333333332E-2</v>
      </c>
      <c r="F18" s="11">
        <v>4.1666666666666664E-2</v>
      </c>
      <c r="G18" s="12">
        <v>0.29166666666666669</v>
      </c>
      <c r="H18" s="36" t="s">
        <v>16</v>
      </c>
      <c r="I18" s="36"/>
      <c r="J18" s="36"/>
      <c r="K18" s="36"/>
      <c r="L18" s="50" t="s">
        <v>23</v>
      </c>
      <c r="M18" s="6"/>
      <c r="N18" s="10"/>
      <c r="O18" s="2"/>
      <c r="P18" s="2"/>
      <c r="Q18" s="5"/>
      <c r="T18" s="5"/>
    </row>
    <row r="19" spans="1:20" ht="15.75" customHeight="1" x14ac:dyDescent="0.2">
      <c r="A19" s="45">
        <f t="shared" si="1"/>
        <v>43539</v>
      </c>
      <c r="B19" s="18">
        <f t="shared" si="0"/>
        <v>43539</v>
      </c>
      <c r="C19" s="11">
        <v>0.3125</v>
      </c>
      <c r="D19" s="11">
        <v>0.5</v>
      </c>
      <c r="E19" s="11">
        <v>0</v>
      </c>
      <c r="F19" s="11">
        <v>2.0833333333333332E-2</v>
      </c>
      <c r="G19" s="12">
        <v>0.125</v>
      </c>
      <c r="H19" s="35"/>
      <c r="I19" s="35"/>
      <c r="J19" s="35" t="s">
        <v>16</v>
      </c>
      <c r="K19" s="35"/>
      <c r="L19" s="48" t="s">
        <v>27</v>
      </c>
      <c r="M19" s="6"/>
      <c r="N19" s="10"/>
      <c r="O19" s="2"/>
      <c r="P19" s="2"/>
      <c r="T19" s="5"/>
    </row>
    <row r="20" spans="1:20" ht="15.75" customHeight="1" x14ac:dyDescent="0.2">
      <c r="A20" s="45">
        <f t="shared" si="1"/>
        <v>43540</v>
      </c>
      <c r="B20" s="18">
        <f t="shared" si="0"/>
        <v>43540</v>
      </c>
      <c r="C20" s="11"/>
      <c r="D20" s="11"/>
      <c r="E20" s="11"/>
      <c r="F20" s="11"/>
      <c r="G20" s="12"/>
      <c r="H20" s="36"/>
      <c r="I20" s="36"/>
      <c r="J20" s="36"/>
      <c r="K20" s="36"/>
      <c r="L20" s="50"/>
      <c r="M20" s="6"/>
      <c r="N20" s="10"/>
      <c r="O20" s="27"/>
      <c r="P20" s="2"/>
      <c r="R20" s="1"/>
    </row>
    <row r="21" spans="1:20" ht="15.75" customHeight="1" x14ac:dyDescent="0.2">
      <c r="A21" s="45">
        <f t="shared" si="1"/>
        <v>43541</v>
      </c>
      <c r="B21" s="18">
        <f t="shared" si="0"/>
        <v>43541</v>
      </c>
      <c r="C21" s="11"/>
      <c r="D21" s="11"/>
      <c r="E21" s="11"/>
      <c r="F21" s="11"/>
      <c r="G21" s="12"/>
      <c r="H21" s="36"/>
      <c r="I21" s="36"/>
      <c r="J21" s="36"/>
      <c r="K21" s="36"/>
      <c r="L21" s="50"/>
      <c r="M21" s="6"/>
      <c r="N21" s="10"/>
      <c r="O21" s="27"/>
      <c r="P21" s="2"/>
      <c r="R21" s="1"/>
      <c r="T21" s="2"/>
    </row>
    <row r="22" spans="1:20" ht="15.75" customHeight="1" x14ac:dyDescent="0.2">
      <c r="A22" s="45">
        <f t="shared" si="1"/>
        <v>43542</v>
      </c>
      <c r="B22" s="18">
        <f t="shared" si="0"/>
        <v>43542</v>
      </c>
      <c r="C22" s="11">
        <v>0.3125</v>
      </c>
      <c r="D22" s="11">
        <v>0.70833333333333337</v>
      </c>
      <c r="E22" s="11">
        <v>2.0833333333333332E-2</v>
      </c>
      <c r="F22" s="11">
        <v>2.0833333333333332E-2</v>
      </c>
      <c r="G22" s="12">
        <v>0.25</v>
      </c>
      <c r="H22" s="36"/>
      <c r="I22" s="36" t="s">
        <v>16</v>
      </c>
      <c r="J22" s="36"/>
      <c r="K22" s="36"/>
      <c r="L22" s="50" t="s">
        <v>24</v>
      </c>
      <c r="M22" s="6"/>
      <c r="N22" s="10"/>
      <c r="O22" s="27"/>
      <c r="P22" s="2"/>
    </row>
    <row r="23" spans="1:20" ht="15.75" customHeight="1" x14ac:dyDescent="0.2">
      <c r="A23" s="45">
        <f t="shared" si="1"/>
        <v>43543</v>
      </c>
      <c r="B23" s="18">
        <f t="shared" si="0"/>
        <v>43543</v>
      </c>
      <c r="C23" s="11">
        <v>0.3125</v>
      </c>
      <c r="D23" s="11">
        <v>0.70833333333333337</v>
      </c>
      <c r="E23" s="11">
        <v>2.0833333333333332E-2</v>
      </c>
      <c r="F23" s="11">
        <v>4.1666666666666664E-2</v>
      </c>
      <c r="G23" s="12">
        <v>0.29166666666666669</v>
      </c>
      <c r="H23" s="36" t="s">
        <v>16</v>
      </c>
      <c r="I23" s="36"/>
      <c r="J23" s="36"/>
      <c r="K23" s="36"/>
      <c r="L23" s="50" t="s">
        <v>17</v>
      </c>
      <c r="M23" s="6"/>
      <c r="N23" s="10"/>
      <c r="O23" s="27"/>
      <c r="P23" s="2"/>
    </row>
    <row r="24" spans="1:20" ht="15.75" customHeight="1" x14ac:dyDescent="0.2">
      <c r="A24" s="45">
        <f t="shared" si="1"/>
        <v>43544</v>
      </c>
      <c r="B24" s="18">
        <f t="shared" si="0"/>
        <v>43544</v>
      </c>
      <c r="C24" s="11">
        <v>0.3125</v>
      </c>
      <c r="D24" s="11">
        <v>0.70833333333333337</v>
      </c>
      <c r="E24" s="11">
        <v>2.0833333333333332E-2</v>
      </c>
      <c r="F24" s="11">
        <v>2.0833333333333332E-2</v>
      </c>
      <c r="G24" s="12">
        <v>0.25</v>
      </c>
      <c r="H24" s="36" t="s">
        <v>16</v>
      </c>
      <c r="I24" s="36"/>
      <c r="J24" s="36"/>
      <c r="K24" s="36"/>
      <c r="L24" s="50" t="s">
        <v>17</v>
      </c>
      <c r="M24" s="6"/>
      <c r="N24" s="10"/>
      <c r="O24" s="2"/>
      <c r="P24" s="2"/>
    </row>
    <row r="25" spans="1:20" ht="15.75" customHeight="1" x14ac:dyDescent="0.2">
      <c r="A25" s="45">
        <f t="shared" si="1"/>
        <v>43545</v>
      </c>
      <c r="B25" s="18">
        <f t="shared" si="0"/>
        <v>43545</v>
      </c>
      <c r="C25" s="11">
        <v>0.3125</v>
      </c>
      <c r="D25" s="11">
        <v>0.70833333333333337</v>
      </c>
      <c r="E25" s="11">
        <v>2.0833333333333332E-2</v>
      </c>
      <c r="F25" s="11">
        <v>4.1666666666666664E-2</v>
      </c>
      <c r="G25" s="12">
        <v>0.29166666666666669</v>
      </c>
      <c r="H25" s="36" t="s">
        <v>16</v>
      </c>
      <c r="I25" s="36"/>
      <c r="J25" s="36"/>
      <c r="K25" s="36"/>
      <c r="L25" s="50" t="s">
        <v>17</v>
      </c>
      <c r="M25" s="6"/>
      <c r="N25" s="10"/>
      <c r="O25" s="2"/>
      <c r="P25" s="2"/>
    </row>
    <row r="26" spans="1:20" ht="15.75" customHeight="1" x14ac:dyDescent="0.2">
      <c r="A26" s="45">
        <f t="shared" si="1"/>
        <v>43546</v>
      </c>
      <c r="B26" s="18">
        <f t="shared" si="0"/>
        <v>43546</v>
      </c>
      <c r="C26" s="11">
        <v>0.3125</v>
      </c>
      <c r="D26" s="11">
        <v>0.5</v>
      </c>
      <c r="E26" s="11">
        <v>0</v>
      </c>
      <c r="F26" s="11">
        <v>2.0833333333333332E-2</v>
      </c>
      <c r="G26" s="12">
        <v>0.125</v>
      </c>
      <c r="H26" s="35"/>
      <c r="I26" s="35"/>
      <c r="J26" s="35" t="s">
        <v>16</v>
      </c>
      <c r="K26" s="35"/>
      <c r="L26" s="48" t="s">
        <v>26</v>
      </c>
      <c r="M26" s="6"/>
      <c r="N26" s="10"/>
      <c r="O26" s="2"/>
      <c r="P26" s="2"/>
    </row>
    <row r="27" spans="1:20" ht="15.75" customHeight="1" x14ac:dyDescent="0.2">
      <c r="A27" s="45">
        <f t="shared" si="1"/>
        <v>43547</v>
      </c>
      <c r="B27" s="18">
        <f t="shared" si="0"/>
        <v>43547</v>
      </c>
      <c r="C27" s="11"/>
      <c r="D27" s="11"/>
      <c r="E27" s="11"/>
      <c r="F27" s="11"/>
      <c r="G27" s="12"/>
      <c r="H27" s="36"/>
      <c r="I27" s="36"/>
      <c r="J27" s="36"/>
      <c r="K27" s="36"/>
      <c r="L27" s="50"/>
      <c r="M27" s="6"/>
      <c r="N27" s="10"/>
      <c r="O27" s="2"/>
      <c r="P27" s="2"/>
    </row>
    <row r="28" spans="1:20" ht="15.75" customHeight="1" x14ac:dyDescent="0.2">
      <c r="A28" s="45">
        <f t="shared" si="1"/>
        <v>43548</v>
      </c>
      <c r="B28" s="18">
        <f t="shared" si="0"/>
        <v>43548</v>
      </c>
      <c r="C28" s="11"/>
      <c r="D28" s="11"/>
      <c r="E28" s="11"/>
      <c r="F28" s="11"/>
      <c r="G28" s="12"/>
      <c r="H28" s="36"/>
      <c r="I28" s="36"/>
      <c r="J28" s="36"/>
      <c r="K28" s="36"/>
      <c r="L28" s="50"/>
      <c r="M28" s="6"/>
      <c r="N28" s="10"/>
      <c r="O28" s="2"/>
      <c r="P28" s="2"/>
      <c r="S28" s="1"/>
      <c r="T28" s="1"/>
    </row>
    <row r="29" spans="1:20" ht="15.75" customHeight="1" x14ac:dyDescent="0.2">
      <c r="A29" s="45">
        <f t="shared" si="1"/>
        <v>43549</v>
      </c>
      <c r="B29" s="18">
        <f t="shared" si="0"/>
        <v>43549</v>
      </c>
      <c r="C29" s="11">
        <v>0.3125</v>
      </c>
      <c r="D29" s="11">
        <v>0.70833333333333337</v>
      </c>
      <c r="E29" s="11">
        <v>2.0833333333333332E-2</v>
      </c>
      <c r="F29" s="11">
        <v>2.0833333333333332E-2</v>
      </c>
      <c r="G29" s="12">
        <v>0.25</v>
      </c>
      <c r="H29" s="36" t="s">
        <v>16</v>
      </c>
      <c r="I29" s="36"/>
      <c r="J29" s="36"/>
      <c r="K29" s="36"/>
      <c r="L29" s="50" t="s">
        <v>17</v>
      </c>
      <c r="M29" s="6"/>
      <c r="N29" s="10"/>
      <c r="O29" s="2"/>
      <c r="P29" s="2"/>
      <c r="S29" s="1"/>
    </row>
    <row r="30" spans="1:20" ht="15.75" customHeight="1" x14ac:dyDescent="0.2">
      <c r="A30" s="45">
        <f t="shared" si="1"/>
        <v>43550</v>
      </c>
      <c r="B30" s="18">
        <f t="shared" si="0"/>
        <v>43550</v>
      </c>
      <c r="C30" s="11">
        <v>0.3125</v>
      </c>
      <c r="D30" s="11">
        <v>0.70833333333333337</v>
      </c>
      <c r="E30" s="11">
        <v>2.0833333333333332E-2</v>
      </c>
      <c r="F30" s="11">
        <v>4.1666666666666664E-2</v>
      </c>
      <c r="G30" s="12">
        <v>0.29166666666666669</v>
      </c>
      <c r="H30" s="36" t="s">
        <v>16</v>
      </c>
      <c r="I30" s="36"/>
      <c r="J30" s="36"/>
      <c r="K30" s="36"/>
      <c r="L30" s="50" t="s">
        <v>17</v>
      </c>
      <c r="M30" s="6"/>
      <c r="N30" s="10"/>
      <c r="O30" s="2"/>
      <c r="P30" s="2"/>
      <c r="S30" s="1"/>
    </row>
    <row r="31" spans="1:20" ht="15.75" customHeight="1" x14ac:dyDescent="0.2">
      <c r="A31" s="45">
        <f t="shared" si="1"/>
        <v>43551</v>
      </c>
      <c r="B31" s="18">
        <f t="shared" si="0"/>
        <v>43551</v>
      </c>
      <c r="C31" s="11">
        <v>0.3125</v>
      </c>
      <c r="D31" s="11">
        <v>0.70833333333333337</v>
      </c>
      <c r="E31" s="11">
        <v>2.0833333333333332E-2</v>
      </c>
      <c r="F31" s="11">
        <v>2.0833333333333332E-2</v>
      </c>
      <c r="G31" s="12">
        <v>0.25</v>
      </c>
      <c r="H31" s="36" t="s">
        <v>16</v>
      </c>
      <c r="I31" s="36"/>
      <c r="J31" s="36"/>
      <c r="K31" s="36"/>
      <c r="L31" s="50" t="s">
        <v>17</v>
      </c>
      <c r="M31" s="6"/>
      <c r="N31" s="10"/>
      <c r="O31" s="28"/>
    </row>
    <row r="32" spans="1:20" ht="15.75" customHeight="1" x14ac:dyDescent="0.2">
      <c r="A32" s="45">
        <f t="shared" si="1"/>
        <v>43552</v>
      </c>
      <c r="B32" s="18">
        <f t="shared" si="0"/>
        <v>43552</v>
      </c>
      <c r="C32" s="11">
        <v>0.3125</v>
      </c>
      <c r="D32" s="11">
        <v>0.70833333333333337</v>
      </c>
      <c r="E32" s="11">
        <v>2.0833333333333332E-2</v>
      </c>
      <c r="F32" s="11">
        <v>4.1666666666666664E-2</v>
      </c>
      <c r="G32" s="12">
        <v>0.29166666666666669</v>
      </c>
      <c r="H32" s="36" t="s">
        <v>16</v>
      </c>
      <c r="I32" s="36"/>
      <c r="J32" s="36"/>
      <c r="K32" s="36"/>
      <c r="L32" s="50" t="s">
        <v>17</v>
      </c>
      <c r="M32" s="6"/>
      <c r="N32" s="10"/>
      <c r="P32" s="29"/>
    </row>
    <row r="33" spans="1:15" ht="15.75" customHeight="1" x14ac:dyDescent="0.2">
      <c r="A33" s="45">
        <f t="shared" si="1"/>
        <v>43553</v>
      </c>
      <c r="B33" s="18">
        <f t="shared" si="0"/>
        <v>43553</v>
      </c>
      <c r="C33" s="11">
        <v>0.3125</v>
      </c>
      <c r="D33" s="11">
        <v>0.5</v>
      </c>
      <c r="E33" s="11">
        <v>0</v>
      </c>
      <c r="F33" s="11">
        <v>2.0833333333333332E-2</v>
      </c>
      <c r="G33" s="12">
        <v>0.125</v>
      </c>
      <c r="H33" s="35"/>
      <c r="I33" s="35"/>
      <c r="J33" s="35" t="s">
        <v>16</v>
      </c>
      <c r="K33" s="35"/>
      <c r="L33" s="48" t="s">
        <v>28</v>
      </c>
      <c r="M33" s="6"/>
      <c r="N33" s="10"/>
      <c r="O33" s="28"/>
    </row>
    <row r="34" spans="1:15" ht="15.75" customHeight="1" x14ac:dyDescent="0.2">
      <c r="A34" s="45">
        <f t="shared" si="1"/>
        <v>43554</v>
      </c>
      <c r="B34" s="18">
        <f t="shared" si="0"/>
        <v>43554</v>
      </c>
      <c r="C34" s="11"/>
      <c r="D34" s="11"/>
      <c r="E34" s="11"/>
      <c r="F34" s="11"/>
      <c r="G34" s="12"/>
      <c r="H34" s="36"/>
      <c r="I34" s="36"/>
      <c r="J34" s="36"/>
      <c r="K34" s="36"/>
      <c r="L34" s="50"/>
      <c r="M34" s="6"/>
      <c r="N34" s="10"/>
      <c r="O34" s="28"/>
    </row>
    <row r="35" spans="1:15" ht="15.75" customHeight="1" thickBot="1" x14ac:dyDescent="0.25">
      <c r="A35" s="51">
        <f t="shared" si="1"/>
        <v>43555</v>
      </c>
      <c r="B35" s="52">
        <f t="shared" si="0"/>
        <v>43555</v>
      </c>
      <c r="C35" s="53"/>
      <c r="D35" s="53"/>
      <c r="E35" s="53"/>
      <c r="F35" s="53"/>
      <c r="G35" s="54"/>
      <c r="H35" s="55"/>
      <c r="I35" s="55"/>
      <c r="J35" s="55"/>
      <c r="K35" s="55"/>
      <c r="L35" s="21"/>
      <c r="M35" s="6"/>
      <c r="N35" s="10"/>
    </row>
    <row r="36" spans="1:15" ht="17.45" customHeight="1" x14ac:dyDescent="0.2">
      <c r="A36" s="37"/>
      <c r="B36" s="37"/>
      <c r="C36" s="38"/>
      <c r="D36" s="38"/>
      <c r="E36" s="38"/>
      <c r="F36" s="38"/>
      <c r="G36" s="39"/>
      <c r="H36" s="30"/>
      <c r="I36" s="30"/>
      <c r="J36" s="30"/>
      <c r="K36" s="30"/>
      <c r="L36" s="30"/>
      <c r="M36" s="6"/>
      <c r="N36" s="10"/>
    </row>
    <row r="37" spans="1:15" ht="17.45" customHeight="1" x14ac:dyDescent="0.2">
      <c r="A37" s="37"/>
      <c r="B37" s="37"/>
      <c r="C37" s="38"/>
      <c r="D37" s="38"/>
      <c r="E37" s="38"/>
      <c r="F37" s="38"/>
      <c r="G37" s="30"/>
      <c r="H37" s="30"/>
      <c r="I37" s="30"/>
      <c r="J37" s="30"/>
      <c r="K37" s="30"/>
      <c r="L37" s="30"/>
      <c r="M37" s="6"/>
      <c r="N37" s="10"/>
    </row>
    <row r="38" spans="1:15" ht="17.45" customHeight="1" x14ac:dyDescent="0.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6"/>
      <c r="N38" s="10"/>
    </row>
    <row r="39" spans="1:15" ht="15" customHeight="1" x14ac:dyDescent="0.2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8"/>
      <c r="N39" s="29"/>
    </row>
    <row r="40" spans="1:15" ht="15" customHeight="1" x14ac:dyDescent="0.2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6"/>
    </row>
    <row r="41" spans="1:15" ht="15" customHeight="1" x14ac:dyDescent="0.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6"/>
    </row>
    <row r="42" spans="1:15" ht="15" customHeight="1" x14ac:dyDescent="0.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6"/>
    </row>
    <row r="43" spans="1:15" ht="15" customHeight="1" x14ac:dyDescent="0.2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6"/>
    </row>
    <row r="44" spans="1:15" ht="15" customHeight="1" x14ac:dyDescent="0.2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6"/>
    </row>
    <row r="45" spans="1:15" ht="15" customHeight="1" x14ac:dyDescent="0.2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6"/>
    </row>
    <row r="46" spans="1:15" ht="15" customHeight="1" x14ac:dyDescent="0.2">
      <c r="A46" s="6"/>
      <c r="B46" s="6"/>
      <c r="C46" s="6"/>
      <c r="D46" s="6"/>
      <c r="E46" s="6"/>
      <c r="F46" s="6"/>
      <c r="G46" s="6"/>
      <c r="M46" s="6"/>
    </row>
    <row r="47" spans="1:15" ht="15" customHeight="1" x14ac:dyDescent="0.2">
      <c r="A47" s="6"/>
      <c r="B47" s="6"/>
      <c r="C47" s="6"/>
      <c r="D47" s="6"/>
      <c r="E47" s="6"/>
      <c r="F47" s="6"/>
      <c r="G47" s="6"/>
      <c r="M47" s="6"/>
    </row>
    <row r="48" spans="1:15" ht="15" customHeight="1" x14ac:dyDescent="0.2">
      <c r="A48" s="6"/>
      <c r="B48" s="6"/>
      <c r="C48" s="6"/>
      <c r="D48" s="6"/>
      <c r="E48" s="6"/>
      <c r="F48" s="6"/>
      <c r="G48" s="6"/>
      <c r="M48" s="6"/>
    </row>
    <row r="49" spans="1:13" ht="15" customHeight="1" x14ac:dyDescent="0.2">
      <c r="A49" s="6"/>
      <c r="B49" s="6"/>
      <c r="C49" s="6"/>
      <c r="D49" s="6"/>
      <c r="E49" s="6"/>
      <c r="F49" s="6"/>
      <c r="M49" s="6"/>
    </row>
    <row r="50" spans="1:13" ht="15" customHeight="1" x14ac:dyDescent="0.2"/>
    <row r="51" spans="1:13" ht="15" customHeight="1" x14ac:dyDescent="0.2"/>
  </sheetData>
  <mergeCells count="9">
    <mergeCell ref="L3:L4"/>
    <mergeCell ref="A1:C1"/>
    <mergeCell ref="I1:L1"/>
    <mergeCell ref="A3:A4"/>
    <mergeCell ref="B3:B4"/>
    <mergeCell ref="H3:H4"/>
    <mergeCell ref="I3:I4"/>
    <mergeCell ref="J3:J4"/>
    <mergeCell ref="K3:K4"/>
  </mergeCells>
  <phoneticPr fontId="9" type="noConversion"/>
  <conditionalFormatting sqref="A5:G32 C33:G33">
    <cfRule type="expression" dxfId="5" priority="2" stopIfTrue="1">
      <formula>WEEKDAY($A5,2)&gt;5</formula>
    </cfRule>
    <cfRule type="expression" dxfId="4" priority="3" stopIfTrue="1">
      <formula>ISNUMBER(VLOOKUP($A5,Feiertage,1,0))</formula>
    </cfRule>
  </conditionalFormatting>
  <conditionalFormatting sqref="A34:G35 A33:B33">
    <cfRule type="expression" dxfId="3" priority="103" stopIfTrue="1">
      <formula>$A33=""</formula>
    </cfRule>
    <cfRule type="expression" dxfId="2" priority="104" stopIfTrue="1">
      <formula>WEEKDAY($A33,2)&gt;5</formula>
    </cfRule>
    <cfRule type="expression" dxfId="1" priority="105" stopIfTrue="1">
      <formula>ISNUMBER(VLOOKUP($A33,Feiertage,1,0))</formula>
    </cfRule>
  </conditionalFormatting>
  <conditionalFormatting sqref="C5:G33">
    <cfRule type="expression" dxfId="0" priority="1" stopIfTrue="1">
      <formula>$A5=""</formula>
    </cfRule>
  </conditionalFormatting>
  <dataValidations count="2">
    <dataValidation type="custom" errorStyle="warning" allowBlank="1" showInputMessage="1" showErrorMessage="1" errorTitle="Arbeitsfreier Tag" error="Hier eingetragene Zeiten werden voll als Überzeit berechnet!" sqref="C5:F35" xr:uid="{00000000-0002-0000-0300-000000000000}">
      <formula1>VLOOKUP(WEEKDAY($A5,2),Arbeitszeit,2,0)&lt;&gt;0</formula1>
    </dataValidation>
    <dataValidation type="time" allowBlank="1" showInputMessage="1" showErrorMessage="1" sqref="Q5:Q11" xr:uid="{F8294F08-B20F-41AC-AB43-7637F028F418}">
      <formula1>0</formula1>
      <formula2>0.999305555555556</formula2>
    </dataValidation>
  </dataValidations>
  <pageMargins left="0.19685039370078741" right="0.19685039370078741" top="0.39370078740157483" bottom="0.19685039370078741" header="0" footer="0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Arbeitszeit {name MM_JJJJ}</vt:lpstr>
      <vt:lpstr>'Arbeitszeit {name MM_JJJJ}'!Arbeitszeit</vt:lpstr>
      <vt:lpstr>'Arbeitszeit {name MM_JJJJ}'!Druckbereich</vt:lpstr>
      <vt:lpstr>'Arbeitszeit {name MM_JJJJ}'!Freitag</vt:lpstr>
      <vt:lpstr>'Arbeitszeit {name MM_JJJJ}'!TagesPensum</vt:lpstr>
      <vt:lpstr>'Arbeitszeit {name MM_JJJJ}'!WochenPensum</vt:lpstr>
      <vt:lpstr>'Arbeitszeit {name MM_JJJJ}'!WochenSoll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Ramel</dc:creator>
  <cp:lastModifiedBy>Stefan Brinkmann</cp:lastModifiedBy>
  <cp:lastPrinted>2019-03-13T14:21:58Z</cp:lastPrinted>
  <dcterms:created xsi:type="dcterms:W3CDTF">2001-06-01T15:35:45Z</dcterms:created>
  <dcterms:modified xsi:type="dcterms:W3CDTF">2025-11-14T13:47:31Z</dcterms:modified>
</cp:coreProperties>
</file>